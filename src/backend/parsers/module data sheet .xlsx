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insightinc-my.sharepoint.com/personal/abhaypratap_singh_pvinsightinc_com/Documents/Desktop/"/>
    </mc:Choice>
  </mc:AlternateContent>
  <xr:revisionPtr revIDLastSave="50" documentId="8_{8853E726-4A44-49F1-BFA0-FF678AE1FDE4}" xr6:coauthVersionLast="47" xr6:coauthVersionMax="47" xr10:uidLastSave="{520D1C11-63B9-4A09-A6B3-EABD95B45C89}"/>
  <bookViews>
    <workbookView xWindow="-12915" yWindow="-16320" windowWidth="29040" windowHeight="15720" xr2:uid="{87D27096-3336-43A8-A017-2CC2E5854A4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C29" i="1"/>
  <c r="C28" i="1"/>
  <c r="C27" i="1"/>
  <c r="C26" i="1"/>
  <c r="C25" i="1"/>
  <c r="C24" i="1"/>
  <c r="C23" i="1"/>
  <c r="C22" i="1"/>
  <c r="C21" i="1"/>
  <c r="C20" i="1"/>
  <c r="C2" i="1"/>
</calcChain>
</file>

<file path=xl/sharedStrings.xml><?xml version="1.0" encoding="utf-8"?>
<sst xmlns="http://schemas.openxmlformats.org/spreadsheetml/2006/main" count="53" uniqueCount="40">
  <si>
    <t>Sr. No</t>
  </si>
  <si>
    <t xml:space="preserve">Technical Parameters </t>
  </si>
  <si>
    <t>Data</t>
  </si>
  <si>
    <t>Module Model</t>
  </si>
  <si>
    <t>Module Rated Power</t>
  </si>
  <si>
    <t>Wp</t>
  </si>
  <si>
    <t>Pstc (Front Side)</t>
  </si>
  <si>
    <t>Voc (Front Side)</t>
  </si>
  <si>
    <t>V</t>
  </si>
  <si>
    <t>Vmp (Front Side)</t>
  </si>
  <si>
    <t>Isc (Front Side)</t>
  </si>
  <si>
    <t>A</t>
  </si>
  <si>
    <t>Imp (Front Side)</t>
  </si>
  <si>
    <t xml:space="preserve">Module Efficiency </t>
  </si>
  <si>
    <t>%</t>
  </si>
  <si>
    <t>Temperature coefficient of Current (Isc), α</t>
  </si>
  <si>
    <t>%/°C</t>
  </si>
  <si>
    <t>Temperature coefficient of Voltage (Voc), β</t>
  </si>
  <si>
    <t xml:space="preserve">Temperature coefficient of Power (Pm), γ </t>
  </si>
  <si>
    <t xml:space="preserve">NOCT </t>
  </si>
  <si>
    <t>°C</t>
  </si>
  <si>
    <t xml:space="preserve">Operating Temperature </t>
  </si>
  <si>
    <t>Series Fuse Max Rating</t>
  </si>
  <si>
    <t>Length x Width x Height (L x W x H)</t>
  </si>
  <si>
    <t>mm</t>
  </si>
  <si>
    <t>Weight</t>
  </si>
  <si>
    <t>Kg</t>
  </si>
  <si>
    <t>Solar Cells per Module (Units) / Arrangement</t>
  </si>
  <si>
    <t>Solar Cell Type</t>
  </si>
  <si>
    <t>-</t>
  </si>
  <si>
    <t xml:space="preserve">Front Glass </t>
  </si>
  <si>
    <t xml:space="preserve">Back Glass </t>
  </si>
  <si>
    <t>Module Output Cable</t>
  </si>
  <si>
    <t>Module Connector</t>
  </si>
  <si>
    <t xml:space="preserve">Junction Box </t>
  </si>
  <si>
    <t>Load Rating</t>
  </si>
  <si>
    <t xml:space="preserve">Degradation </t>
  </si>
  <si>
    <t>Warranty</t>
  </si>
  <si>
    <t xml:space="preserve">-40 'C to 85'C </t>
  </si>
  <si>
    <t xml:space="preserve">2382 x 1134 x 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</si>
</sst>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Automations/ETD/PV/EXCEL/Design%20Basic%20Report-%20Test%2003.xlsm" TargetMode="External"/><Relationship Id="rId2" Type="http://schemas.openxmlformats.org/officeDocument/2006/relationships/externalLinkPath" Target="https://pvinsightinc-my.sharepoint.com/personal/abhaypratap_singh_pvinsightinc_com/Documents/Documents/Automations/ETD/PV/EXCEL/Design%20Basic%20Report-%20Test%2003.xlsm" TargetMode="External"/><Relationship Id="rId1" Type="http://schemas.openxmlformats.org/officeDocument/2006/relationships/externalLinkPath" Target="/personal/abhaypratap_singh_pvinsightinc_com/Documents/Documents/Automations/ETD/PV/EXCEL/Design%20Basic%20Report-%20Test%20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 Sheet"/>
      <sheetName val="Index-010"/>
      <sheetName val="Abbrevation"/>
      <sheetName val="Sheet1"/>
      <sheetName val="Inputs"/>
      <sheetName val="Sheet2"/>
      <sheetName val="Introduction"/>
      <sheetName val="Project Details"/>
      <sheetName val="DC Design"/>
      <sheetName val="DC Material"/>
      <sheetName val="AC Design"/>
      <sheetName val="Losses"/>
      <sheetName val="Sting Sizing"/>
      <sheetName val="Results"/>
      <sheetName val="PV-SAM"/>
      <sheetName val="Data"/>
      <sheetName val="Data_Isc"/>
    </sheetNames>
    <sheetDataSet>
      <sheetData sheetId="0"/>
      <sheetData sheetId="1"/>
      <sheetData sheetId="2"/>
      <sheetData sheetId="3"/>
      <sheetData sheetId="4">
        <row r="25">
          <cell r="P25" t="str">
            <v xml:space="preserve">NOCT </v>
          </cell>
        </row>
        <row r="26">
          <cell r="P26" t="str">
            <v>Series Fuse Rating</v>
          </cell>
        </row>
        <row r="27">
          <cell r="P27" t="str">
            <v xml:space="preserve">Oprtarting Temprature Range </v>
          </cell>
        </row>
        <row r="28">
          <cell r="P28" t="str">
            <v>Length x Width x Height (L x W x H)</v>
          </cell>
        </row>
        <row r="29">
          <cell r="P29" t="str">
            <v>Weight</v>
          </cell>
        </row>
        <row r="30">
          <cell r="P30" t="str">
            <v>Solar Cells per Module (Units) / Arrangement</v>
          </cell>
        </row>
        <row r="31">
          <cell r="P31" t="str">
            <v>Solar Cell Type</v>
          </cell>
        </row>
        <row r="32">
          <cell r="P32" t="str">
            <v xml:space="preserve">Front Glass </v>
          </cell>
        </row>
        <row r="33">
          <cell r="P33" t="str">
            <v xml:space="preserve">Back Glass </v>
          </cell>
        </row>
        <row r="34">
          <cell r="P34" t="str">
            <v>Module Output Cable</v>
          </cell>
        </row>
        <row r="35">
          <cell r="P35" t="str">
            <v>Module Connector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7475-E485-463C-A7BF-F858F4220FE3}">
  <dimension ref="A1:I30"/>
  <sheetViews>
    <sheetView tabSelected="1" workbookViewId="0">
      <selection activeCell="K6" sqref="K6"/>
    </sheetView>
  </sheetViews>
  <sheetFormatPr defaultRowHeight="14.4" x14ac:dyDescent="0.3"/>
  <cols>
    <col min="2" max="2" width="38.6640625" customWidth="1"/>
  </cols>
  <sheetData>
    <row r="1" spans="1:9" ht="15" x14ac:dyDescent="0.3">
      <c r="A1" s="3" t="s">
        <v>0</v>
      </c>
      <c r="B1" s="3" t="s">
        <v>1</v>
      </c>
      <c r="C1" s="8" t="s">
        <v>2</v>
      </c>
      <c r="D1" s="8"/>
      <c r="E1" s="8"/>
      <c r="F1" s="8"/>
      <c r="G1" s="8"/>
      <c r="H1" s="8"/>
      <c r="I1" s="8"/>
    </row>
    <row r="2" spans="1:9" ht="16.8" x14ac:dyDescent="0.3">
      <c r="A2" s="2">
        <v>1</v>
      </c>
      <c r="B2" s="1" t="s">
        <v>3</v>
      </c>
      <c r="C2" s="9">
        <f>[1]Inputs!P6</f>
        <v>0</v>
      </c>
      <c r="D2" s="9"/>
      <c r="E2" s="9"/>
      <c r="F2" s="9"/>
      <c r="G2" s="9"/>
      <c r="H2" s="9"/>
      <c r="I2" s="9"/>
    </row>
    <row r="3" spans="1:9" ht="16.8" x14ac:dyDescent="0.3">
      <c r="A3" s="2">
        <v>2</v>
      </c>
      <c r="B3" s="1" t="s">
        <v>4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s="1" t="s">
        <v>5</v>
      </c>
    </row>
    <row r="4" spans="1:9" ht="16.8" x14ac:dyDescent="0.3">
      <c r="A4" s="2">
        <v>3</v>
      </c>
      <c r="B4" s="1" t="s">
        <v>6</v>
      </c>
      <c r="C4" s="4">
        <v>120</v>
      </c>
      <c r="D4" s="4">
        <v>120</v>
      </c>
      <c r="E4" s="4">
        <v>120</v>
      </c>
      <c r="F4" s="4">
        <v>120</v>
      </c>
      <c r="G4" s="4">
        <v>120</v>
      </c>
      <c r="H4" s="4">
        <v>120</v>
      </c>
      <c r="I4" s="1" t="s">
        <v>5</v>
      </c>
    </row>
    <row r="5" spans="1:9" ht="16.8" x14ac:dyDescent="0.3">
      <c r="A5" s="2">
        <v>4</v>
      </c>
      <c r="B5" s="1" t="s">
        <v>7</v>
      </c>
      <c r="C5" s="4">
        <v>252</v>
      </c>
      <c r="D5" s="4">
        <v>252</v>
      </c>
      <c r="E5" s="4">
        <v>252</v>
      </c>
      <c r="F5" s="4">
        <v>252</v>
      </c>
      <c r="G5" s="4">
        <v>252</v>
      </c>
      <c r="H5" s="4">
        <v>252</v>
      </c>
      <c r="I5" s="1" t="s">
        <v>8</v>
      </c>
    </row>
    <row r="6" spans="1:9" ht="16.8" x14ac:dyDescent="0.3">
      <c r="A6" s="2">
        <v>5</v>
      </c>
      <c r="B6" s="1" t="s">
        <v>9</v>
      </c>
      <c r="C6" s="4">
        <v>336</v>
      </c>
      <c r="D6" s="4">
        <v>336</v>
      </c>
      <c r="E6" s="4">
        <v>336</v>
      </c>
      <c r="F6" s="4">
        <v>336</v>
      </c>
      <c r="G6" s="4">
        <v>336</v>
      </c>
      <c r="H6" s="4">
        <v>254</v>
      </c>
      <c r="I6" s="1" t="s">
        <v>8</v>
      </c>
    </row>
    <row r="7" spans="1:9" ht="16.8" x14ac:dyDescent="0.3">
      <c r="A7" s="2">
        <v>6</v>
      </c>
      <c r="B7" s="1" t="s">
        <v>10</v>
      </c>
      <c r="C7" s="4">
        <v>77</v>
      </c>
      <c r="D7" s="4">
        <v>77</v>
      </c>
      <c r="E7" s="4">
        <v>77</v>
      </c>
      <c r="F7" s="4">
        <v>77</v>
      </c>
      <c r="G7" s="4">
        <v>77</v>
      </c>
      <c r="H7" s="4">
        <v>77</v>
      </c>
      <c r="I7" s="1" t="s">
        <v>11</v>
      </c>
    </row>
    <row r="8" spans="1:9" ht="16.8" customHeight="1" x14ac:dyDescent="0.3">
      <c r="A8" s="2">
        <v>7</v>
      </c>
      <c r="B8" s="1" t="s">
        <v>12</v>
      </c>
      <c r="C8" s="4">
        <v>22</v>
      </c>
      <c r="D8" s="4">
        <v>22</v>
      </c>
      <c r="E8" s="4">
        <v>22</v>
      </c>
      <c r="F8" s="4">
        <v>22</v>
      </c>
      <c r="G8" s="4">
        <v>22</v>
      </c>
      <c r="H8" s="4">
        <v>22</v>
      </c>
      <c r="I8" s="1" t="s">
        <v>11</v>
      </c>
    </row>
    <row r="9" spans="1:9" ht="16.8" customHeight="1" x14ac:dyDescent="0.3">
      <c r="A9" s="2">
        <v>8</v>
      </c>
      <c r="B9" s="1" t="s">
        <v>13</v>
      </c>
      <c r="C9" s="4">
        <v>77</v>
      </c>
      <c r="D9" s="4">
        <v>77</v>
      </c>
      <c r="E9" s="4">
        <v>77</v>
      </c>
      <c r="F9" s="4">
        <v>77</v>
      </c>
      <c r="G9" s="4">
        <v>77</v>
      </c>
      <c r="H9" s="4">
        <v>77</v>
      </c>
      <c r="I9" s="1" t="s">
        <v>14</v>
      </c>
    </row>
    <row r="10" spans="1:9" ht="16.8" x14ac:dyDescent="0.3">
      <c r="A10" s="2">
        <v>9</v>
      </c>
      <c r="B10" s="1" t="s">
        <v>15</v>
      </c>
      <c r="C10" s="5">
        <v>4.5999999999999999E-2</v>
      </c>
      <c r="D10" s="6"/>
      <c r="E10" s="6"/>
      <c r="F10" s="6"/>
      <c r="G10" s="6"/>
      <c r="H10" s="7"/>
      <c r="I10" s="1" t="s">
        <v>16</v>
      </c>
    </row>
    <row r="11" spans="1:9" ht="16.8" x14ac:dyDescent="0.3">
      <c r="A11" s="2">
        <v>10</v>
      </c>
      <c r="B11" s="1" t="s">
        <v>17</v>
      </c>
      <c r="C11" s="5">
        <v>-0.25</v>
      </c>
      <c r="D11" s="6"/>
      <c r="E11" s="6"/>
      <c r="F11" s="6"/>
      <c r="G11" s="6"/>
      <c r="H11" s="7"/>
      <c r="I11" s="1" t="s">
        <v>16</v>
      </c>
    </row>
    <row r="12" spans="1:9" ht="16.8" x14ac:dyDescent="0.3">
      <c r="A12" s="2">
        <v>11</v>
      </c>
      <c r="B12" s="1" t="s">
        <v>18</v>
      </c>
      <c r="C12" s="5">
        <v>-0.3</v>
      </c>
      <c r="D12" s="6"/>
      <c r="E12" s="6"/>
      <c r="F12" s="6"/>
      <c r="G12" s="6"/>
      <c r="H12" s="7"/>
      <c r="I12" s="1" t="s">
        <v>16</v>
      </c>
    </row>
    <row r="13" spans="1:9" ht="16.8" x14ac:dyDescent="0.3">
      <c r="A13" s="2">
        <v>12</v>
      </c>
      <c r="B13" s="1" t="s">
        <v>19</v>
      </c>
      <c r="C13" s="5">
        <v>45</v>
      </c>
      <c r="D13" s="6"/>
      <c r="E13" s="6"/>
      <c r="F13" s="6"/>
      <c r="G13" s="6"/>
      <c r="H13" s="7"/>
      <c r="I13" s="1" t="s">
        <v>20</v>
      </c>
    </row>
    <row r="14" spans="1:9" ht="16.8" x14ac:dyDescent="0.3">
      <c r="A14" s="2">
        <v>13</v>
      </c>
      <c r="B14" s="1" t="s">
        <v>21</v>
      </c>
      <c r="C14" s="10" t="s">
        <v>38</v>
      </c>
      <c r="D14" s="11"/>
      <c r="E14" s="11"/>
      <c r="F14" s="11"/>
      <c r="G14" s="11"/>
      <c r="H14" s="12"/>
      <c r="I14" s="1" t="s">
        <v>20</v>
      </c>
    </row>
    <row r="15" spans="1:9" ht="16.8" x14ac:dyDescent="0.3">
      <c r="A15" s="2">
        <v>14</v>
      </c>
      <c r="B15" s="1" t="s">
        <v>22</v>
      </c>
      <c r="C15" s="5">
        <v>30</v>
      </c>
      <c r="D15" s="6"/>
      <c r="E15" s="6"/>
      <c r="F15" s="6"/>
      <c r="G15" s="6"/>
      <c r="H15" s="7"/>
      <c r="I15" s="1" t="s">
        <v>11</v>
      </c>
    </row>
    <row r="16" spans="1:9" ht="16.8" x14ac:dyDescent="0.3">
      <c r="A16" s="2">
        <v>15</v>
      </c>
      <c r="B16" s="1" t="s">
        <v>23</v>
      </c>
      <c r="C16" s="5" t="s">
        <v>39</v>
      </c>
      <c r="D16" s="6"/>
      <c r="E16" s="6"/>
      <c r="F16" s="6"/>
      <c r="G16" s="6"/>
      <c r="H16" s="7"/>
      <c r="I16" s="1" t="s">
        <v>24</v>
      </c>
    </row>
    <row r="17" spans="1:9" ht="16.8" x14ac:dyDescent="0.3">
      <c r="A17" s="2">
        <v>16</v>
      </c>
      <c r="B17" s="1" t="s">
        <v>25</v>
      </c>
      <c r="C17" s="5">
        <v>42.5</v>
      </c>
      <c r="D17" s="6"/>
      <c r="E17" s="6"/>
      <c r="F17" s="6"/>
      <c r="G17" s="6"/>
      <c r="H17" s="7"/>
      <c r="I17" s="1" t="s">
        <v>26</v>
      </c>
    </row>
    <row r="18" spans="1:9" ht="16.8" x14ac:dyDescent="0.3">
      <c r="A18" s="2">
        <v>17</v>
      </c>
      <c r="B18" s="1" t="s">
        <v>27</v>
      </c>
      <c r="C18" s="5">
        <v>132</v>
      </c>
      <c r="D18" s="6"/>
      <c r="E18" s="6"/>
      <c r="F18" s="6"/>
      <c r="G18" s="6"/>
      <c r="H18" s="7"/>
      <c r="I18" s="1"/>
    </row>
    <row r="19" spans="1:9" ht="16.8" x14ac:dyDescent="0.3">
      <c r="A19" s="2">
        <v>19</v>
      </c>
      <c r="B19" s="1" t="s">
        <v>28</v>
      </c>
      <c r="C19" s="5">
        <v>456</v>
      </c>
      <c r="D19" s="6"/>
      <c r="E19" s="6"/>
      <c r="F19" s="6"/>
      <c r="G19" s="6"/>
      <c r="H19" s="7"/>
      <c r="I19" s="1" t="s">
        <v>29</v>
      </c>
    </row>
    <row r="20" spans="1:9" ht="16.8" x14ac:dyDescent="0.3">
      <c r="A20" s="2">
        <v>20</v>
      </c>
      <c r="B20" s="1" t="s">
        <v>30</v>
      </c>
      <c r="C20" s="9" t="str">
        <f>[1]Inputs!P25</f>
        <v xml:space="preserve">NOCT </v>
      </c>
      <c r="D20" s="9"/>
      <c r="E20" s="9"/>
      <c r="F20" s="9"/>
      <c r="G20" s="9"/>
      <c r="H20" s="9"/>
      <c r="I20" s="1" t="s">
        <v>29</v>
      </c>
    </row>
    <row r="21" spans="1:9" ht="16.8" x14ac:dyDescent="0.3">
      <c r="A21" s="2">
        <v>21</v>
      </c>
      <c r="B21" s="1" t="s">
        <v>31</v>
      </c>
      <c r="C21" s="9" t="str">
        <f>[1]Inputs!P26</f>
        <v>Series Fuse Rating</v>
      </c>
      <c r="D21" s="9"/>
      <c r="E21" s="9"/>
      <c r="F21" s="9"/>
      <c r="G21" s="9"/>
      <c r="H21" s="9"/>
      <c r="I21" s="1" t="s">
        <v>29</v>
      </c>
    </row>
    <row r="22" spans="1:9" ht="16.8" x14ac:dyDescent="0.3">
      <c r="A22" s="2">
        <v>22</v>
      </c>
      <c r="B22" s="1" t="s">
        <v>32</v>
      </c>
      <c r="C22" s="9" t="str">
        <f>[1]Inputs!P27</f>
        <v xml:space="preserve">Oprtarting Temprature Range </v>
      </c>
      <c r="D22" s="9"/>
      <c r="E22" s="9"/>
      <c r="F22" s="9"/>
      <c r="G22" s="9"/>
      <c r="H22" s="9"/>
      <c r="I22" s="1"/>
    </row>
    <row r="23" spans="1:9" ht="16.8" x14ac:dyDescent="0.3">
      <c r="A23" s="2">
        <v>23</v>
      </c>
      <c r="B23" s="1" t="s">
        <v>33</v>
      </c>
      <c r="C23" s="9" t="str">
        <f>[1]Inputs!P28</f>
        <v>Length x Width x Height (L x W x H)</v>
      </c>
      <c r="D23" s="9"/>
      <c r="E23" s="9"/>
      <c r="F23" s="9"/>
      <c r="G23" s="9"/>
      <c r="H23" s="9"/>
      <c r="I23" s="1"/>
    </row>
    <row r="24" spans="1:9" ht="16.8" x14ac:dyDescent="0.3">
      <c r="A24" s="2">
        <v>24</v>
      </c>
      <c r="B24" s="1" t="s">
        <v>34</v>
      </c>
      <c r="C24" s="9" t="str">
        <f>[1]Inputs!P29</f>
        <v>Weight</v>
      </c>
      <c r="D24" s="9"/>
      <c r="E24" s="9"/>
      <c r="F24" s="9"/>
      <c r="G24" s="9"/>
      <c r="H24" s="9"/>
      <c r="I24" s="1" t="s">
        <v>29</v>
      </c>
    </row>
    <row r="25" spans="1:9" ht="16.8" x14ac:dyDescent="0.3">
      <c r="A25" s="2">
        <v>25</v>
      </c>
      <c r="B25" s="1" t="s">
        <v>35</v>
      </c>
      <c r="C25" s="9" t="str">
        <f>[1]Inputs!P30</f>
        <v>Solar Cells per Module (Units) / Arrangement</v>
      </c>
      <c r="D25" s="9"/>
      <c r="E25" s="9"/>
      <c r="F25" s="9"/>
      <c r="G25" s="9"/>
      <c r="H25" s="9"/>
      <c r="I25" s="1" t="s">
        <v>29</v>
      </c>
    </row>
    <row r="26" spans="1:9" ht="16.8" x14ac:dyDescent="0.3">
      <c r="A26" s="13">
        <v>26</v>
      </c>
      <c r="B26" s="14" t="s">
        <v>36</v>
      </c>
      <c r="C26" s="9" t="str">
        <f>[1]Inputs!P31</f>
        <v>Solar Cell Type</v>
      </c>
      <c r="D26" s="9"/>
      <c r="E26" s="9"/>
      <c r="F26" s="9"/>
      <c r="G26" s="9"/>
      <c r="H26" s="9"/>
      <c r="I26" s="15" t="s">
        <v>29</v>
      </c>
    </row>
    <row r="27" spans="1:9" ht="16.8" x14ac:dyDescent="0.3">
      <c r="A27" s="13"/>
      <c r="B27" s="14"/>
      <c r="C27" s="9" t="str">
        <f>[1]Inputs!P32</f>
        <v xml:space="preserve">Front Glass </v>
      </c>
      <c r="D27" s="9"/>
      <c r="E27" s="9"/>
      <c r="F27" s="9"/>
      <c r="G27" s="9"/>
      <c r="H27" s="9"/>
      <c r="I27" s="15"/>
    </row>
    <row r="28" spans="1:9" ht="16.8" x14ac:dyDescent="0.3">
      <c r="A28" s="13"/>
      <c r="B28" s="14"/>
      <c r="C28" s="9" t="str">
        <f>[1]Inputs!P33</f>
        <v xml:space="preserve">Back Glass </v>
      </c>
      <c r="D28" s="9"/>
      <c r="E28" s="9"/>
      <c r="F28" s="9"/>
      <c r="G28" s="9"/>
      <c r="H28" s="9"/>
      <c r="I28" s="15"/>
    </row>
    <row r="29" spans="1:9" ht="16.8" x14ac:dyDescent="0.3">
      <c r="A29" s="13">
        <v>27</v>
      </c>
      <c r="B29" s="14" t="s">
        <v>37</v>
      </c>
      <c r="C29" s="9" t="str">
        <f>[1]Inputs!P34</f>
        <v>Module Output Cable</v>
      </c>
      <c r="D29" s="9"/>
      <c r="E29" s="9"/>
      <c r="F29" s="9"/>
      <c r="G29" s="9"/>
      <c r="H29" s="9"/>
      <c r="I29" s="15" t="s">
        <v>29</v>
      </c>
    </row>
    <row r="30" spans="1:9" ht="16.8" x14ac:dyDescent="0.3">
      <c r="A30" s="13"/>
      <c r="B30" s="14"/>
      <c r="C30" s="9" t="str">
        <f>[1]Inputs!P35</f>
        <v>Module Connector</v>
      </c>
      <c r="D30" s="9"/>
      <c r="E30" s="9"/>
      <c r="F30" s="9"/>
      <c r="G30" s="9"/>
      <c r="H30" s="9"/>
      <c r="I30" s="15"/>
    </row>
  </sheetData>
  <mergeCells count="29">
    <mergeCell ref="A29:A30"/>
    <mergeCell ref="B29:B30"/>
    <mergeCell ref="C29:H29"/>
    <mergeCell ref="I29:I30"/>
    <mergeCell ref="C30:H30"/>
    <mergeCell ref="C25:H25"/>
    <mergeCell ref="A26:A28"/>
    <mergeCell ref="B26:B28"/>
    <mergeCell ref="C26:H26"/>
    <mergeCell ref="I26:I28"/>
    <mergeCell ref="C27:H27"/>
    <mergeCell ref="C28:H28"/>
    <mergeCell ref="C24:H24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13:H13"/>
    <mergeCell ref="C1:I1"/>
    <mergeCell ref="C2:I2"/>
    <mergeCell ref="C10:H10"/>
    <mergeCell ref="C11:H11"/>
    <mergeCell ref="C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Pratap Singh</dc:creator>
  <cp:lastModifiedBy>Abhay Pratap Singh</cp:lastModifiedBy>
  <dcterms:created xsi:type="dcterms:W3CDTF">2026-06-17T06:29:49Z</dcterms:created>
  <dcterms:modified xsi:type="dcterms:W3CDTF">2026-06-23T10:41:39Z</dcterms:modified>
</cp:coreProperties>
</file>